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7d7cebf2a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与完整度" sheetId="1" r:id="R282ff6a1e6864e59"/>
    <x:sheet xmlns:r="http://schemas.openxmlformats.org/officeDocument/2006/relationships" name="20条抽样" sheetId="2" r:id="R6f5d95827127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21D24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a6fde4af14dc2" /><Relationship Type="http://schemas.openxmlformats.org/officeDocument/2006/relationships/theme" Target="/xl/theme/theme1.xml" Id="R050b41d0d1ba4e92" /><Relationship Type="http://schemas.openxmlformats.org/officeDocument/2006/relationships/sharedStrings" Target="/xl/sharedStrings.xml" Id="Rcf0dd4f8b9c94f8e" /><Relationship Type="http://schemas.openxmlformats.org/officeDocument/2006/relationships/worksheet" Target="/xl/worksheets/sheet1.xml" Id="R282ff6a1e6864e59" /><Relationship Type="http://schemas.openxmlformats.org/officeDocument/2006/relationships/worksheet" Target="/xl/worksheets/sheet2.xml" Id="R6f5d958271274f8e" /></Relationships>
</file>

<file path=xl/tables/table1.xml><?xml version="1.0" encoding="utf-8"?>
<x:table xmlns:x="http://schemas.openxmlformats.org/spreadsheetml/2006/main" id="1" name="SampleMetadata" displayName="SampleMetadata" ref="A1:Q21" headerRowCount="1" totalsRowCount="0" totalsRowShown="0">
  <x:tableColumns count="17">
    <x:tableColumn id="1" name="样本编号"/>
    <x:tableColumn id="2" name="结果序号"/>
    <x:tableColumn id="3" name="题名"/>
    <x:tableColumn id="4" name="作者（含机构序号）"/>
    <x:tableColumn id="5" name="作者单位"/>
    <x:tableColumn id="6" name="列表日期"/>
    <x:tableColumn id="7" name="数据库类型"/>
    <x:tableColumn id="8" name="来源名称"/>
    <x:tableColumn id="9" name="摘要状态"/>
    <x:tableColumn id="10" name="关键词状态"/>
    <x:tableColumn id="11" name="DOI状态"/>
    <x:tableColumn id="12" name="DOI"/>
    <x:tableColumn id="13" name="关键词"/>
    <x:tableColumn id="14" name="知网详情链接"/>
    <x:tableColumn id="15" name="证据截图"/>
    <x:tableColumn id="16" name="详情页出版年"/>
    <x:tableColumn id="17" name="日期口径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f0a67c730d4a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2" ht="25" customHeight="1">
      <x:c r="A2" s="12" t="str">
        <x:v>浙江大学计算机科学与技术学院：2021—2025年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11" t="str">
        <x:v>年度</x:v>
      </x:c>
      <x:c r="B4" s="11" t="str">
        <x:v>检索数量（条）</x:v>
      </x:c>
      <x:c r="C4" s="11" t="str">
        <x:v>占五年总量</x:v>
      </x:c>
      <x:c r="D4" s="11" t="str">
        <x:v>同比变化</x:v>
      </x:c>
      <x:c r="E4" s="5"/>
      <x:c r="F4" s="11" t="str">
        <x:v>数据库类型</x:v>
      </x:c>
      <x:c r="G4" s="11" t="str">
        <x:v>数量（条）</x:v>
      </x:c>
      <x:c r="H4" s="11" t="str">
        <x:v>占总量</x:v>
      </x:c>
    </x:row>
    <x:row r="5" ht="25" customHeight="1">
      <x:c r="A5" s="5" t="n">
        <x:v>2021</x:v>
      </x:c>
      <x:c r="B5" s="5" t="n">
        <x:v>56</x:v>
      </x:c>
      <x:c r="C5" s="6" t="n">
        <x:f>B5/$B$10</x:f>
        <x:v>0.12280701754385964</x:v>
      </x:c>
      <x:c r="D5" s="6"/>
      <x:c r="E5" s="5"/>
      <x:c r="F5" s="5" t="str">
        <x:v>学术期刊</x:v>
      </x:c>
      <x:c r="G5" s="5" t="n">
        <x:v>450</x:v>
      </x:c>
      <x:c r="H5" s="6" t="n">
        <x:f>G5/$B$10</x:f>
        <x:v>0.9868421052631579</x:v>
      </x:c>
    </x:row>
    <x:row r="6" ht="25" customHeight="1">
      <x:c r="A6" s="5" t="n">
        <x:v>2022</x:v>
      </x:c>
      <x:c r="B6" s="5" t="n">
        <x:v>99</x:v>
      </x:c>
      <x:c r="C6" s="6" t="n">
        <x:f>B6/$B$10</x:f>
        <x:v>0.21710526315789475</x:v>
      </x:c>
      <x:c r="D6" s="6" t="n">
        <x:f>B6/B5-1</x:f>
        <x:v>0.7678571428571428</x:v>
      </x:c>
      <x:c r="E6" s="5"/>
      <x:c r="F6" s="5" t="str">
        <x:v>学术辑刊</x:v>
      </x:c>
      <x:c r="G6" s="5" t="n">
        <x:v>1</x:v>
      </x:c>
      <x:c r="H6" s="6" t="n">
        <x:f>G6/$B$10</x:f>
        <x:v>0.0021929824561403508</x:v>
      </x:c>
    </x:row>
    <x:row r="7" ht="25" customHeight="1">
      <x:c r="A7" s="5" t="n">
        <x:v>2023</x:v>
      </x:c>
      <x:c r="B7" s="5" t="n">
        <x:v>96</x:v>
      </x:c>
      <x:c r="C7" s="6" t="n">
        <x:f>B7/$B$10</x:f>
        <x:v>0.21052631578947367</x:v>
      </x:c>
      <x:c r="D7" s="6" t="n">
        <x:f>B7/B6-1</x:f>
        <x:v>-0.030303030303030276</x:v>
      </x:c>
      <x:c r="E7" s="5"/>
      <x:c r="F7" s="5" t="str">
        <x:v>特色期刊</x:v>
      </x:c>
      <x:c r="G7" s="5" t="n">
        <x:v>5</x:v>
      </x:c>
      <x:c r="H7" s="6" t="n">
        <x:f>G7/$B$10</x:f>
        <x:v>0.010964912280701754</x:v>
      </x:c>
    </x:row>
    <x:row r="8" ht="25" customHeight="1">
      <x:c r="A8" s="5" t="n">
        <x:v>2024</x:v>
      </x:c>
      <x:c r="B8" s="5" t="n">
        <x:v>88</x:v>
      </x:c>
      <x:c r="C8" s="6" t="n">
        <x:f>B8/$B$10</x:f>
        <x:v>0.19298245614035087</x:v>
      </x:c>
      <x:c r="D8" s="6" t="n">
        <x:f>B8/B7-1</x:f>
        <x:v>-0.08333333333333337</x:v>
      </x:c>
      <x:c r="E8" s="5"/>
      <x:c r="F8" s="5"/>
      <x:c r="G8" s="5"/>
      <x:c r="H8" s="5"/>
    </x:row>
    <x:row r="9" ht="25" customHeight="1">
      <x:c r="A9" s="5" t="n">
        <x:v>2025</x:v>
      </x:c>
      <x:c r="B9" s="5" t="n">
        <x:v>117</x:v>
      </x:c>
      <x:c r="C9" s="6" t="n">
        <x:f>B9/$B$10</x:f>
        <x:v>0.2565789473684211</x:v>
      </x:c>
      <x:c r="D9" s="6" t="n">
        <x:f>B9/B8-1</x:f>
        <x:v>0.3295454545454546</x:v>
      </x:c>
      <x:c r="E9" s="5"/>
      <x:c r="F9" s="5"/>
      <x:c r="G9" s="5"/>
      <x:c r="H9" s="5"/>
    </x:row>
    <x:row r="10" ht="25" customHeight="1">
      <x:c r="A10" s="5" t="str">
        <x:v>五年合计</x:v>
      </x:c>
      <x:c r="B10" s="5" t="n">
        <x:f>SUM(B5:B9)</x:f>
        <x:v>456</x:v>
      </x:c>
      <x:c r="C10" s="5"/>
      <x:c r="D10" s="5"/>
      <x:c r="E10" s="5"/>
      <x:c r="F10" s="5"/>
      <x:c r="G10" s="5"/>
      <x:c r="H10" s="5"/>
    </x:row>
    <x:row r="11" ht="25" customHeight="1">
      <x:c r="A11" s="5"/>
      <x:c r="B11" s="5"/>
      <x:c r="C11" s="5"/>
      <x:c r="D11" s="5"/>
      <x:c r="E11" s="5"/>
      <x:c r="F11" s="5"/>
      <x:c r="G11" s="5"/>
      <x:c r="H11" s="5"/>
    </x:row>
    <x:row r="12" ht="25" customHeight="1">
      <x:c r="A12" s="5"/>
      <x:c r="B12" s="5"/>
      <x:c r="C12" s="5"/>
      <x:c r="D12" s="5"/>
      <x:c r="E12" s="5"/>
      <x:c r="F12" s="5"/>
      <x:c r="G12" s="5"/>
      <x:c r="H12" s="5"/>
    </x:row>
    <x:row r="13" ht="25" customHeight="1">
      <x:c r="A13" s="11" t="str">
        <x:v>核验字段</x:v>
      </x:c>
      <x:c r="B13" s="11" t="str">
        <x:v>有</x:v>
      </x:c>
      <x:c r="C13" s="11" t="str">
        <x:v>缺失</x:v>
      </x:c>
      <x:c r="D13" s="11" t="str">
        <x:v>不适用</x:v>
      </x:c>
      <x:c r="E13" s="11" t="str">
        <x:v>无法核验</x:v>
      </x:c>
      <x:c r="F13" s="11" t="str">
        <x:v>已核验适用条数</x:v>
      </x:c>
      <x:c r="G13" s="11" t="str">
        <x:v>缺失率</x:v>
      </x:c>
      <x:c r="H13" s="11" t="str">
        <x:v>判定范围</x:v>
      </x:c>
    </x:row>
    <x:row r="14" ht="25" customHeight="1">
      <x:c r="A14" s="5" t="str">
        <x:v>题名</x:v>
      </x:c>
      <x:c r="B14" s="5" t="n">
        <x:f>COUNTA('20条抽样'!C$2:C$21)</x:f>
        <x:v>20</x:v>
      </x:c>
      <x:c r="C14" s="5" t="n">
        <x:f>20-B14</x:f>
        <x:v>0</x:v>
      </x:c>
      <x:c r="D14" s="5" t="n">
        <x:v>0</x:v>
      </x:c>
      <x:c r="E14" s="5" t="n">
        <x:v>0</x:v>
      </x:c>
      <x:c r="F14" s="5" t="n">
        <x:f>SUM(B14:C14)</x:f>
        <x:v>20</x:v>
      </x:c>
      <x:c r="G14" s="6" t="n">
        <x:f>IF(F14=0,"无法计算",C14/F14)</x:f>
        <x:v>0</x:v>
      </x:c>
      <x:c r="H14" s="5" t="str">
        <x:v>列表/详情页字段是否提供</x:v>
      </x:c>
    </x:row>
    <x:row r="15" ht="25" customHeight="1">
      <x:c r="A15" s="5" t="str">
        <x:v>作者</x:v>
      </x:c>
      <x:c r="B15" s="5" t="n">
        <x:f>COUNTA('20条抽样'!D$2:D$21)</x:f>
        <x:v>20</x:v>
      </x:c>
      <x:c r="C15" s="5" t="n">
        <x:f>20-B15</x:f>
        <x:v>0</x:v>
      </x:c>
      <x:c r="D15" s="5" t="n">
        <x:v>0</x:v>
      </x:c>
      <x:c r="E15" s="5" t="n">
        <x:v>0</x:v>
      </x:c>
      <x:c r="F15" s="5" t="n">
        <x:f>SUM(B15:C15)</x:f>
        <x:v>20</x:v>
      </x:c>
      <x:c r="G15" s="6" t="n">
        <x:f>IF(F15=0,"无法计算",C15/F15)</x:f>
        <x:v>0</x:v>
      </x:c>
      <x:c r="H15" s="5" t="str">
        <x:v>列表/详情页字段是否提供</x:v>
      </x:c>
    </x:row>
    <x:row r="16" ht="25" customHeight="1">
      <x:c r="A16" s="5" t="str">
        <x:v>作者单位</x:v>
      </x:c>
      <x:c r="B16" s="5" t="n">
        <x:f>COUNTA('20条抽样'!E$2:E$21)</x:f>
        <x:v>20</x:v>
      </x:c>
      <x:c r="C16" s="5" t="n">
        <x:f>20-B16</x:f>
        <x:v>0</x:v>
      </x:c>
      <x:c r="D16" s="5" t="n">
        <x:v>0</x:v>
      </x:c>
      <x:c r="E16" s="5" t="n">
        <x:v>0</x:v>
      </x:c>
      <x:c r="F16" s="5" t="n">
        <x:f>SUM(B16:C16)</x:f>
        <x:v>20</x:v>
      </x:c>
      <x:c r="G16" s="6" t="n">
        <x:f>IF(F16=0,"无法计算",C16/F16)</x:f>
        <x:v>0</x:v>
      </x:c>
      <x:c r="H16" s="5" t="str">
        <x:v>列表/详情页字段是否提供</x:v>
      </x:c>
    </x:row>
    <x:row r="17" ht="25" customHeight="1">
      <x:c r="A17" s="5" t="str">
        <x:v>列表日期</x:v>
      </x:c>
      <x:c r="B17" s="5" t="n">
        <x:f>COUNTA('20条抽样'!F$2:F$21)</x:f>
        <x:v>20</x:v>
      </x:c>
      <x:c r="C17" s="5" t="n">
        <x:f>20-B17</x:f>
        <x:v>0</x:v>
      </x:c>
      <x:c r="D17" s="5" t="n">
        <x:v>0</x:v>
      </x:c>
      <x:c r="E17" s="5" t="n">
        <x:v>0</x:v>
      </x:c>
      <x:c r="F17" s="5" t="n">
        <x:f>SUM(B17:C17)</x:f>
        <x:v>20</x:v>
      </x:c>
      <x:c r="G17" s="6" t="n">
        <x:f>IF(F17=0,"无法计算",C17/F17)</x:f>
        <x:v>0</x:v>
      </x:c>
      <x:c r="H17" s="5" t="str">
        <x:v>列表/详情页字段是否提供</x:v>
      </x:c>
    </x:row>
    <x:row r="18" ht="25" customHeight="1">
      <x:c r="A18" s="5" t="str">
        <x:v>数据库类型</x:v>
      </x:c>
      <x:c r="B18" s="5" t="n">
        <x:f>COUNTA('20条抽样'!G$2:G$21)</x:f>
        <x:v>20</x:v>
      </x:c>
      <x:c r="C18" s="5" t="n">
        <x:f>20-B18</x:f>
        <x:v>0</x:v>
      </x:c>
      <x:c r="D18" s="5" t="n">
        <x:v>0</x:v>
      </x:c>
      <x:c r="E18" s="5" t="n">
        <x:v>0</x:v>
      </x:c>
      <x:c r="F18" s="5" t="n">
        <x:f>SUM(B18:C18)</x:f>
        <x:v>20</x:v>
      </x:c>
      <x:c r="G18" s="6" t="n">
        <x:f>IF(F18=0,"无法计算",C18/F18)</x:f>
        <x:v>0</x:v>
      </x:c>
      <x:c r="H18" s="5" t="str">
        <x:v>列表/详情页字段是否提供</x:v>
      </x:c>
    </x:row>
    <x:row r="19" ht="25" customHeight="1">
      <x:c r="A19" s="5" t="str">
        <x:v>来源名称</x:v>
      </x:c>
      <x:c r="B19" s="5" t="n">
        <x:f>COUNTA('20条抽样'!H$2:H$21)</x:f>
        <x:v>20</x:v>
      </x:c>
      <x:c r="C19" s="5" t="n">
        <x:f>20-B19</x:f>
        <x:v>0</x:v>
      </x:c>
      <x:c r="D19" s="5" t="n">
        <x:v>0</x:v>
      </x:c>
      <x:c r="E19" s="5" t="n">
        <x:v>0</x:v>
      </x:c>
      <x:c r="F19" s="5" t="n">
        <x:f>SUM(B19:C19)</x:f>
        <x:v>20</x:v>
      </x:c>
      <x:c r="G19" s="6" t="n">
        <x:f>IF(F19=0,"无法计算",C19/F19)</x:f>
        <x:v>0</x:v>
      </x:c>
      <x:c r="H19" s="5" t="str">
        <x:v>列表/详情页字段是否提供</x:v>
      </x:c>
    </x:row>
    <x:row r="20" ht="25" customHeight="1">
      <x:c r="A20" s="5" t="str">
        <x:v>摘要</x:v>
      </x:c>
      <x:c r="B20" s="5" t="n">
        <x:f>COUNTIFS('20条抽样'!I$2:I$21,"有")</x:f>
        <x:v>20</x:v>
      </x:c>
      <x:c r="C20" s="5" t="n">
        <x:f>COUNTIFS('20条抽样'!I$2:I$21,"缺失")</x:f>
        <x:v>0</x:v>
      </x:c>
      <x:c r="D20" s="5" t="n">
        <x:f>COUNTIFS('20条抽样'!I$2:I$21,"不适用")</x:f>
        <x:v>0</x:v>
      </x:c>
      <x:c r="E20" s="5" t="n">
        <x:f>COUNTIFS('20条抽样'!I$2:I$21,"无法核验")</x:f>
        <x:v>0</x:v>
      </x:c>
      <x:c r="F20" s="5" t="n">
        <x:f>SUM(B20:C20)</x:f>
        <x:v>20</x:v>
      </x:c>
      <x:c r="G20" s="6" t="n">
        <x:f>IF(F20=0,"无法计算",C20/F20)</x:f>
        <x:v>0</x:v>
      </x:c>
      <x:c r="H20" s="5" t="str">
        <x:v>列表/详情页字段是否提供</x:v>
      </x:c>
    </x:row>
    <x:row r="21" ht="25" customHeight="1">
      <x:c r="A21" s="5" t="str">
        <x:v>关键词</x:v>
      </x:c>
      <x:c r="B21" s="5" t="n">
        <x:f>COUNTIFS('20条抽样'!J$2:J$21,"有")</x:f>
        <x:v>19</x:v>
      </x:c>
      <x:c r="C21" s="5" t="n">
        <x:f>COUNTIFS('20条抽样'!J$2:J$21,"缺失")</x:f>
        <x:v>1</x:v>
      </x:c>
      <x:c r="D21" s="5" t="n">
        <x:f>COUNTIFS('20条抽样'!J$2:J$21,"不适用")</x:f>
        <x:v>0</x:v>
      </x:c>
      <x:c r="E21" s="5" t="n">
        <x:f>COUNTIFS('20条抽样'!J$2:J$21,"无法核验")</x:f>
        <x:v>0</x:v>
      </x:c>
      <x:c r="F21" s="5" t="n">
        <x:f>SUM(B21:C21)</x:f>
        <x:v>20</x:v>
      </x:c>
      <x:c r="G21" s="6" t="n">
        <x:f>IF(F21=0,"无法计算",C21/F21)</x:f>
        <x:v>0.05</x:v>
      </x:c>
      <x:c r="H21" s="5" t="str">
        <x:v>列表/详情页字段是否提供</x:v>
      </x:c>
    </x:row>
    <x:row r="22" ht="25" customHeight="1">
      <x:c r="A22" s="5" t="str">
        <x:v>DOI</x:v>
      </x:c>
      <x:c r="B22" s="5" t="n">
        <x:f>COUNTIFS('20条抽样'!K$2:K$21,"有")</x:f>
        <x:v>7</x:v>
      </x:c>
      <x:c r="C22" s="5" t="n">
        <x:f>COUNTIFS('20条抽样'!K$2:K$21,"缺失")</x:f>
        <x:v>13</x:v>
      </x:c>
      <x:c r="D22" s="5" t="n">
        <x:f>COUNTIFS('20条抽样'!K$2:K$21,"不适用")</x:f>
        <x:v>0</x:v>
      </x:c>
      <x:c r="E22" s="5" t="n">
        <x:f>COUNTIFS('20条抽样'!K$2:K$21,"无法核验")</x:f>
        <x:v>0</x:v>
      </x:c>
      <x:c r="F22" s="5" t="n">
        <x:f>SUM(B22:C22)</x:f>
        <x:v>20</x:v>
      </x:c>
      <x:c r="G22" s="6" t="n">
        <x:f>IF(F22=0,"无法计算",C22/F22)</x:f>
        <x:v>0.65</x:v>
      </x:c>
      <x:c r="H22" s="5" t="str">
        <x:v>页面未显示，不等于原文无DOI</x:v>
      </x:c>
    </x:row>
    <x:row r="23" ht="25" customHeight="1">
      <x:c r="A23" s="5" t="str">
        <x:v>详情链接</x:v>
      </x:c>
      <x:c r="B23" s="5" t="n">
        <x:f>COUNTA('20条抽样'!N$2:N$21)</x:f>
        <x:v>20</x:v>
      </x:c>
      <x:c r="C23" s="5" t="n">
        <x:f>20-B23</x:f>
        <x:v>0</x:v>
      </x:c>
      <x:c r="D23" s="5" t="n">
        <x:v>0</x:v>
      </x:c>
      <x:c r="E23" s="5" t="n">
        <x:v>0</x:v>
      </x:c>
      <x:c r="F23" s="5" t="n">
        <x:f>SUM(B23:C23)</x:f>
        <x:v>20</x:v>
      </x:c>
      <x:c r="G23" s="6" t="n">
        <x:f>IF(F23=0,"无法计算",C23/F23)</x:f>
        <x:v>0</x:v>
      </x:c>
      <x:c r="H23" s="5" t="str">
        <x:v>列表/详情页字段是否提供</x:v>
      </x:c>
    </x:row>
    <x:row r="24" ht="25" customHeight="1">
      <x:c r="A24" s="5"/>
      <x:c r="B24" s="5"/>
      <x:c r="C24" s="5"/>
      <x:c r="D24" s="5"/>
      <x:c r="E24" s="5"/>
      <x:c r="F24" s="5"/>
      <x:c r="G24" s="5"/>
      <x:c r="H24" s="5"/>
    </x:row>
    <x:row r="25" ht="25" customHeight="1">
      <x:c r="A25" s="5"/>
      <x:c r="B25" s="5"/>
      <x:c r="C25" s="5"/>
      <x:c r="D25" s="5"/>
      <x:c r="E25" s="5"/>
      <x:c r="F25" s="5"/>
      <x:c r="G25" s="5"/>
      <x:c r="H25" s="5"/>
    </x:row>
    <x:row r="26" ht="38" customHeight="1">
      <x:c r="A26" s="5" t="str">
        <x:v>检索字段</x:v>
      </x:c>
      <x:c r="B26" s="13" t="str">
        <x:v>作者单位：浙江大学计算机科学与技术学院（模糊）</x:v>
      </x:c>
      <x:c r="C26" s="13"/>
      <x:c r="D26" s="13"/>
      <x:c r="E26" s="13"/>
      <x:c r="F26" s="13"/>
      <x:c r="G26" s="13"/>
      <x:c r="H26" s="13"/>
    </x:row>
    <x:row r="27" ht="38" customHeight="1">
      <x:c r="A27" s="5" t="str">
        <x:v>年度条件</x:v>
      </x:c>
      <x:c r="B27" s="13" t="str">
        <x:v>年度分组勾选2021、2022、2023、2024、2025</x:v>
      </x:c>
      <x:c r="C27" s="13"/>
      <x:c r="D27" s="13"/>
      <x:c r="E27" s="13"/>
      <x:c r="F27" s="13"/>
      <x:c r="G27" s="13"/>
      <x:c r="H27" s="13"/>
    </x:row>
    <x:row r="28" ht="38" customHeight="1">
      <x:c r="A28" s="5" t="str">
        <x:v>范围</x:v>
      </x:c>
      <x:c r="B28" s="13" t="str">
        <x:v>总库，中文；中英文扩展关闭</x:v>
      </x:c>
      <x:c r="C28" s="13"/>
      <x:c r="D28" s="13"/>
      <x:c r="E28" s="13"/>
      <x:c r="F28" s="13"/>
      <x:c r="G28" s="13"/>
      <x:c r="H28" s="13"/>
    </x:row>
    <x:row r="29" ht="38" customHeight="1">
      <x:c r="A29" s="5" t="str">
        <x:v>排序和抽样</x:v>
      </x:c>
      <x:c r="B29" s="13" t="str">
        <x:v>发表时间降序；N=456；Python random.Random(20261012).sample，无放回20条</x:v>
      </x:c>
      <x:c r="C29" s="13"/>
      <x:c r="D29" s="13"/>
      <x:c r="E29" s="13"/>
      <x:c r="F29" s="13"/>
      <x:c r="G29" s="13"/>
      <x:c r="H29" s="13"/>
    </x:row>
    <x:row r="30" ht="38" customHeight="1">
      <x:c r="A30" s="5" t="str">
        <x:v>检索日期</x:v>
      </x:c>
      <x:c r="B30" s="13" t="str">
        <x:v>2026-10-12</x:v>
      </x:c>
      <x:c r="C30" s="13"/>
      <x:c r="D30" s="13"/>
      <x:c r="E30" s="13"/>
      <x:c r="F30" s="13"/>
      <x:c r="G30" s="13"/>
      <x:c r="H30" s="13"/>
    </x:row>
    <x:row r="31" ht="38" customHeight="1">
      <x:c r="A31" s="5" t="str">
        <x:v>检索入口</x:v>
      </x:c>
      <x:c r="B31" s="13" t="str">
        <x:v>https://kns.cnki.net/kns8s/AdvSearch</x:v>
      </x:c>
      <x:c r="C31" s="13"/>
      <x:c r="D31" s="13"/>
      <x:c r="E31" s="13"/>
      <x:c r="F31" s="13"/>
      <x:c r="G31" s="13"/>
      <x:c r="H31" s="13"/>
    </x:row>
    <x:row r="32" ht="38" customHeight="1">
      <x:c r="A32" s="5" t="str">
        <x:v>计数证据</x:v>
      </x:c>
      <x:c r="B32" s="13" t="str">
        <x:v>知网-年度与类型完整证据.png</x:v>
      </x:c>
      <x:c r="C32" s="13"/>
      <x:c r="D32" s="13"/>
      <x:c r="E32" s="13"/>
      <x:c r="F32" s="13"/>
      <x:c r="G32" s="13"/>
      <x:c r="H32" s="13"/>
    </x:row>
    <x:row r="33" ht="38" customHeight="1">
      <x:c r="A33" s="5" t="str">
        <x:v>边界</x:v>
      </x:c>
      <x:c r="B33" s="13" t="str">
        <x:v>只代表该作者单位名称在知网中的检索结果，不能推断学院全部成果</x:v>
      </x:c>
      <x:c r="C33" s="13"/>
      <x:c r="D33" s="13"/>
      <x:c r="E33" s="13"/>
      <x:c r="F33" s="13"/>
      <x:c r="G33" s="13"/>
      <x:c r="H33" s="13"/>
    </x:row>
  </x:sheetData>
  <x:mergeCells>
    <x:mergeCell ref="B26:H26"/>
    <x:mergeCell ref="B27:H27"/>
    <x:mergeCell ref="B28:H28"/>
    <x:mergeCell ref="B29:H29"/>
    <x:mergeCell ref="B30:H30"/>
    <x:mergeCell ref="B31:H31"/>
    <x:mergeCell ref="B32:H32"/>
    <x:mergeCell ref="B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38" hidden="0" customWidth="1"/>
    <x:col min="5" max="5" width="38" hidden="0" customWidth="1"/>
    <x:col min="6" max="6" width="14" hidden="0" customWidth="1"/>
    <x:col min="7" max="7" width="14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  <x:col min="12" max="12" width="40" hidden="0" customWidth="1"/>
    <x:col min="13" max="13" width="40" hidden="0" customWidth="1"/>
    <x:col min="14" max="14" width="35" hidden="0" customWidth="1"/>
    <x:col min="15" max="15" width="23" hidden="0" customWidth="1"/>
    <x:col min="16" max="16" width="32" hidden="0" customWidth="1"/>
    <x:col min="17" max="17" width="32" hidden="0" customWidth="1"/>
  </x:cols>
  <x:sheetData>
    <x:row r="1" ht="40" customHeight="1">
      <x:c r="A1" s="15" t="str">
        <x:v>样本编号</x:v>
      </x:c>
      <x:c r="B1" s="15" t="str">
        <x:v>结果序号</x:v>
      </x:c>
      <x:c r="C1" s="15" t="str">
        <x:v>题名</x:v>
      </x:c>
      <x:c r="D1" s="15" t="str">
        <x:v>作者（含机构序号）</x:v>
      </x:c>
      <x:c r="E1" s="15" t="str">
        <x:v>作者单位</x:v>
      </x:c>
      <x:c r="F1" s="15" t="str">
        <x:v>列表日期</x:v>
      </x:c>
      <x:c r="G1" s="15" t="str">
        <x:v>数据库类型</x:v>
      </x:c>
      <x:c r="H1" s="15" t="str">
        <x:v>来源名称</x:v>
      </x:c>
      <x:c r="I1" s="15" t="str">
        <x:v>摘要状态</x:v>
      </x:c>
      <x:c r="J1" s="15" t="str">
        <x:v>关键词状态</x:v>
      </x:c>
      <x:c r="K1" s="15" t="str">
        <x:v>DOI状态</x:v>
      </x:c>
      <x:c r="L1" s="15" t="str">
        <x:v>DOI</x:v>
      </x:c>
      <x:c r="M1" s="15" t="str">
        <x:v>关键词</x:v>
      </x:c>
      <x:c r="N1" s="15" t="str">
        <x:v>知网详情链接</x:v>
      </x:c>
      <x:c r="O1" s="15" t="str">
        <x:v>证据截图</x:v>
      </x:c>
      <x:c r="P1" s="15" t="str">
        <x:v>详情页出版年</x:v>
      </x:c>
      <x:c r="Q1" s="15" t="str">
        <x:v>日期口径备注</x:v>
      </x:c>
    </x:row>
    <x:row r="2" ht="100" customHeight="1">
      <x:c r="A2" s="13" t="n">
        <x:v>1</x:v>
      </x:c>
      <x:c r="B2" s="13" t="n">
        <x:v>1</x:v>
      </x:c>
      <x:c r="C2" s="13" t="str">
        <x:v>高水平大学校园AI电信诈骗防范研究</x:v>
      </x:c>
      <x:c r="D2" s="13" t="str">
        <x:v>章懿颖 黄恩浩 董冬</x:v>
      </x:c>
      <x:c r="E2" s="13" t="str">
        <x:v>浙江大学计算机科学与技术学院</x:v>
      </x:c>
      <x:c r="F2" s="16" t="d">
        <x:v>2025-12-15T00:00:00.000Z</x:v>
      </x:c>
      <x:c r="G2" s="13" t="str">
        <x:v>期刊</x:v>
      </x:c>
      <x:c r="H2" s="13" t="str">
        <x:v>计算机时代</x:v>
      </x:c>
      <x:c r="I2" s="13" t="str">
        <x:v>有</x:v>
      </x:c>
      <x:c r="J2" s="13" t="str">
        <x:v>有</x:v>
      </x:c>
      <x:c r="K2" s="13" t="str">
        <x:v>有</x:v>
      </x:c>
      <x:c r="L2" s="13" t="str">
        <x:v>10.16644/j.cnki.cn33-1094/tp.2025.12.012</x:v>
      </x:c>
      <x:c r="M2" s="13" t="str">
        <x:v>生成式人工智能;AI电信诈骗;校园安全;高水平大学;</x:v>
      </x:c>
      <x:c r="N2" s="13" t="str">
        <x:v>https://kns.cnki.net/kcms2/article/abstract?v=9TisLvyceEN0cU0MIqZjpR2FM-65gCgbAbOIsaz4tf4RQp9rC_m_vaY06STj5T-znzFbFPxPQvvOH5gGL9cOIZABjF7fyEuwvqJpe9qnTXEorD-q8QpYrKTxpNo1oTkAFFPcEQXuBB9K6mSjoDVgNdoRJ-3HoWQtxNeo11sfM8arzNnmBegtOg==</x:v>
      </x:c>
      <x:c r="O2" s="13" t="str">
        <x:v>样本-01.png</x:v>
      </x:c>
      <x:c r="P2" s="13" t="n">
        <x:v>2025</x:v>
      </x:c>
      <x:c r="Q2" s="13" t="str">
        <x:v>年度分组与列表日期、详情出版年为不同字段</x:v>
      </x:c>
    </x:row>
    <x:row r="3" ht="100" customHeight="1">
      <x:c r="A3" s="13" t="n">
        <x:v>2</x:v>
      </x:c>
      <x:c r="B3" s="13" t="n">
        <x:v>5</x:v>
      </x:c>
      <x:c r="C3" s="13" t="str">
        <x:v>数字疗法在失眠症中的临床应用现状、挑战与展望</x:v>
      </x:c>
      <x:c r="D3" s="13" t="str">
        <x:v>蒋佳慧1,2 姚盼3,4 黄蕾1huanglei@tongji.edu.cn</x:v>
      </x:c>
      <x:c r="E3" s="13" t="str">
        <x:v>1.同济大学附属同济医院 2.同济大学医学院 3.浙江强脑科技有限公司 4.浙江大学计算机科学与技术学院</x:v>
      </x:c>
      <x:c r="F3" s="16" t="d">
        <x:v>2025-12-04T00:00:00.000Z</x:v>
      </x:c>
      <x:c r="G3" s="13" t="str">
        <x:v>期刊</x:v>
      </x:c>
      <x:c r="H3" s="13" t="str">
        <x:v>中国数字医学</x:v>
      </x:c>
      <x:c r="I3" s="13" t="str">
        <x:v>有</x:v>
      </x:c>
      <x:c r="J3" s="13" t="str">
        <x:v>有</x:v>
      </x:c>
      <x:c r="K3" s="13" t="str">
        <x:v>缺失</x:v>
      </x:c>
      <x:c r="L3" s="13" t="str"/>
      <x:c r="M3" s="13" t="str">
        <x:v>失眠;数字疗法;认知行为疗法;正念干预;</x:v>
      </x:c>
      <x:c r="N3" s="13" t="str">
        <x:v>https://kns.cnki.net/kcms2/article/abstract?v=9TisLvyceEMwgwdagnFaZ7Cv0EzN39ma54CTxya9ZTW15s0NnpESUiWqPFFUy-ganuGREbGbhMz8I0MpyUgmajBx_6CdK0r1Tnd3Pqy-MuseTA_iEAOX11-9TKqI6mU5TN3DZdrcUEpidI1uNt5YZTCd-qj5k7Pj8UhfEOMgO4c8lX3H9JuUFA==</x:v>
      </x:c>
      <x:c r="O3" s="13" t="str">
        <x:v>样本-02.png</x:v>
      </x:c>
      <x:c r="P3" s="13" t="n">
        <x:v>2025</x:v>
      </x:c>
      <x:c r="Q3" s="13" t="str">
        <x:v>年度分组与列表日期、详情出版年为不同字段</x:v>
      </x:c>
    </x:row>
    <x:row r="4" ht="100" customHeight="1">
      <x:c r="A4" s="13" t="n">
        <x:v>3</x:v>
      </x:c>
      <x:c r="B4" s="13" t="n">
        <x:v>23</x:v>
      </x:c>
      <x:c r="C4" s="13" t="str">
        <x:v>消费者视角下食品类老字号品牌形象的可持续优化决策模型</x:v>
      </x:c>
      <x:c r="D4" s="13" t="str">
        <x:v>季少融1,2 杨程2</x:v>
      </x:c>
      <x:c r="E4" s="13" t="str">
        <x:v>1.浙江大学计算机科学与技术学院 2.浙大城市学院艺术与考古学院</x:v>
      </x:c>
      <x:c r="F4" s="16" t="d">
        <x:v>2025-09-20T00:00:00.000Z</x:v>
      </x:c>
      <x:c r="G4" s="13" t="str">
        <x:v>期刊</x:v>
      </x:c>
      <x:c r="H4" s="13" t="str">
        <x:v>包装工程</x:v>
      </x:c>
      <x:c r="I4" s="13" t="str">
        <x:v>有</x:v>
      </x:c>
      <x:c r="J4" s="13" t="str">
        <x:v>有</x:v>
      </x:c>
      <x:c r="K4" s="13" t="str">
        <x:v>有</x:v>
      </x:c>
      <x:c r="L4" s="13" t="str">
        <x:v>10.19554/j.cnki.1001-3563.2025.18.028</x:v>
      </x:c>
      <x:c r="M4" s="13" t="str">
        <x:v>品牌形象;可持续优化;消费者偏好;老字号;食品品牌;</x:v>
      </x:c>
      <x:c r="N4" s="13" t="str">
        <x:v>https://kns.cnki.net/kcms2/article/abstract?v=9TisLvyceEOe4-HPdKNcIjo4fWwp3-y4lQFg0PMDzHM0uGMEg8Tc9W3iH67q53bA1RrJn5ZWaJD_semuEIcgaGOLHCnhC40ddUnZEWqGBpZNs8BFiZrcFttl_iZXJbn-mgrkFF6Q75ZXDOFB5t7MQdGxj7zVKZ_zjW6jbYVaoai91nglpWxtCg==</x:v>
      </x:c>
      <x:c r="O4" s="13" t="str">
        <x:v>样本-03.png</x:v>
      </x:c>
      <x:c r="P4" s="13" t="n">
        <x:v>2025</x:v>
      </x:c>
      <x:c r="Q4" s="13" t="str">
        <x:v>年度分组与列表日期、详情出版年为不同字段</x:v>
      </x:c>
    </x:row>
    <x:row r="5" ht="100" customHeight="1">
      <x:c r="A5" s="13" t="n">
        <x:v>4</x:v>
      </x:c>
      <x:c r="B5" s="13" t="n">
        <x:v>26</x:v>
      </x:c>
      <x:c r="C5" s="13" t="str">
        <x:v>麻省理工学院网络安全通识教育体系探究</x:v>
      </x:c>
      <x:c r="D5" s="13" t="str">
        <x:v>陈心怡1 杨春玲2 袁书宏2</x:v>
      </x:c>
      <x:c r="E5" s="13" t="str">
        <x:v>1.浙江大学计算机科学与技术学院 2.浙江大学信息技术中心</x:v>
      </x:c>
      <x:c r="F5" s="16" t="d">
        <x:v>2025-09-15T00:00:00.000Z</x:v>
      </x:c>
      <x:c r="G5" s="13" t="str">
        <x:v>特色期刊</x:v>
      </x:c>
      <x:c r="H5" s="13" t="str">
        <x:v>中国教育网络</x:v>
      </x:c>
      <x:c r="I5" s="13" t="str">
        <x:v>有</x:v>
      </x:c>
      <x:c r="J5" s="13" t="str">
        <x:v>缺失</x:v>
      </x:c>
      <x:c r="K5" s="13" t="str">
        <x:v>缺失</x:v>
      </x:c>
      <x:c r="L5" s="13" t="str"/>
      <x:c r="M5" s="13" t="str"/>
      <x:c r="N5" s="13" t="str">
        <x:v>https://kns.cnki.net/kcms2/article/abstract?v=9TisLvyceEO9OzpAo-lRv3nDufv215tk-H6jB96aSz2hnM9wzkxq7uuUqDOxfy_hlNWg1mkFqK0Qc7N4ekTH65befk3mdI2EQhF0bxaidYo0v76z5sF54iM0thD6g6LzUHwqaw14N2Q9x-5MvkwckUQ3HgBxLLTY7b3YhmTNLFiq49pfYouXpQ==</x:v>
      </x:c>
      <x:c r="O5" s="13" t="str">
        <x:v>样本-04.png</x:v>
      </x:c>
      <x:c r="P5" s="13" t="n">
        <x:v>2025</x:v>
      </x:c>
      <x:c r="Q5" s="13" t="str">
        <x:v>年度分组与列表日期、详情出版年为不同字段</x:v>
      </x:c>
    </x:row>
    <x:row r="6" ht="100" customHeight="1">
      <x:c r="A6" s="13" t="n">
        <x:v>5</x:v>
      </x:c>
      <x:c r="B6" s="13" t="n">
        <x:v>36</x:v>
      </x:c>
      <x:c r="C6" s="13" t="str">
        <x:v>6G领域研究现状与热点分析</x:v>
      </x:c>
      <x:c r="D6" s="13" t="str">
        <x:v>邓会1hdeng@xidian.edu.cn 牛姗姗1 魏子舒2 许广洲3</x:v>
      </x:c>
      <x:c r="E6" s="13" t="str">
        <x:v>1.西安电子科技大学期刊中心 2.浙江大学计算机科学与技术学院 3.西安电子科技大学空天地一体化综合业务网全国重点实验室</x:v>
      </x:c>
      <x:c r="F6" s="16" t="d">
        <x:v>2025-08-14T00:00:00.000Z</x:v>
      </x:c>
      <x:c r="G6" s="13" t="str">
        <x:v>期刊</x:v>
      </x:c>
      <x:c r="H6" s="13" t="str">
        <x:v>科学观察</x:v>
      </x:c>
      <x:c r="I6" s="13" t="str">
        <x:v>有</x:v>
      </x:c>
      <x:c r="J6" s="13" t="str">
        <x:v>有</x:v>
      </x:c>
      <x:c r="K6" s="13" t="str">
        <x:v>有</x:v>
      </x:c>
      <x:c r="L6" s="13" t="str">
        <x:v>10.15978/j.cnki.1673-5668.20250310</x:v>
      </x:c>
      <x:c r="M6" s="13" t="str">
        <x:v>6G;研究热点;关键词;合作网络;文献计量;</x:v>
      </x:c>
      <x:c r="N6" s="13" t="str">
        <x:v>https://kns.cnki.net/kcms2/article/abstract?v=9TisLvyceEN058kqiWsYXr9AyVJF3MvsjW7p1Q6TNY8mQEGIEqLdi3_P8O18c852AnC21DvrZzhz1JN4lIK0B9idnUeqsnPDA0YT-RY-U4s1X7qORPtClLto7lnDt_0enqEb2X8WJNonJ0eGEg6pkvZ1e8v2bCuuV2gCo-YExUiPH56J8JdXAg==</x:v>
      </x:c>
      <x:c r="O6" s="13" t="str">
        <x:v>样本-05.png</x:v>
      </x:c>
      <x:c r="P6" s="13" t="n">
        <x:v>2025</x:v>
      </x:c>
      <x:c r="Q6" s="13" t="str">
        <x:v>年度分组与列表日期、详情出版年为不同字段</x:v>
      </x:c>
    </x:row>
    <x:row r="7" ht="100" customHeight="1">
      <x:c r="A7" s="13" t="n">
        <x:v>6</x:v>
      </x:c>
      <x:c r="B7" s="13" t="n">
        <x:v>88</x:v>
      </x:c>
      <x:c r="C7" s="13" t="str">
        <x:v>我国高校创新创业教育政策变迁及其内在逻辑——基于间断均衡理论的解释</x:v>
      </x:c>
      <x:c r="D7" s="13" t="str">
        <x:v>王琼琼 王智华</x:v>
      </x:c>
      <x:c r="E7" s="13" t="str">
        <x:v>浙江大学计算机科学与技术学院</x:v>
      </x:c>
      <x:c r="F7" s="16" t="d">
        <x:v>2025-02-25T00:00:00.000Z</x:v>
      </x:c>
      <x:c r="G7" s="13" t="str">
        <x:v>期刊</x:v>
      </x:c>
      <x:c r="H7" s="13" t="str">
        <x:v>山西能源学院学报</x:v>
      </x:c>
      <x:c r="I7" s="13" t="str">
        <x:v>有</x:v>
      </x:c>
      <x:c r="J7" s="13" t="str">
        <x:v>有</x:v>
      </x:c>
      <x:c r="K7" s="13" t="str">
        <x:v>缺失</x:v>
      </x:c>
      <x:c r="L7" s="13" t="str"/>
      <x:c r="M7" s="13" t="str">
        <x:v>高校;创新创业教育政策;间断均衡理论;政策变迁;</x:v>
      </x:c>
      <x:c r="N7" s="13" t="str">
        <x:v>https://kns.cnki.net/kcms2/article/abstract?v=9TisLvyceEPylRhzz8YM7Ke-xzftS1jvjK0MsTPBifASU-tTr2nqcc3QM13hPRKbmkHxnG6DT2aYZDhRT90-YlmJLQnqpCuvH0mc6RVXv3ukcJrtev8hHHEqjIa7rTtBBsDRBJV3tJkCFzPa21N568ucaU-a2FEvaklz6sGnrgr1rK1TZed97g==</x:v>
      </x:c>
      <x:c r="O7" s="13" t="str">
        <x:v>样本-06.png</x:v>
      </x:c>
      <x:c r="P7" s="13" t="n">
        <x:v>2025</x:v>
      </x:c>
      <x:c r="Q7" s="13" t="str">
        <x:v>年度分组与列表日期、详情出版年为不同字段</x:v>
      </x:c>
    </x:row>
    <x:row r="8" ht="100" customHeight="1">
      <x:c r="A8" s="13" t="n">
        <x:v>7</x:v>
      </x:c>
      <x:c r="B8" s="13" t="n">
        <x:v>114</x:v>
      </x:c>
      <x:c r="C8" s="13" t="str">
        <x:v>基于CiteSpace分析的乡村博物馆设计发展趋势研究</x:v>
      </x:c>
      <x:c r="D8" s="13" t="str">
        <x:v>朱发运1 滕有平2 王唯佳3</x:v>
      </x:c>
      <x:c r="E8" s="13" t="str">
        <x:v>1.中国美术学院南特设计联合学院 2.浙大城市学院艺术与考古学院 3.浙江大学计算机科学与技术学院</x:v>
      </x:c>
      <x:c r="F8" s="16" t="d">
        <x:v>2024-10-30T00:00:00.000Z</x:v>
      </x:c>
      <x:c r="G8" s="13" t="str">
        <x:v>期刊</x:v>
      </x:c>
      <x:c r="H8" s="13" t="str">
        <x:v>创意与设计</x:v>
      </x:c>
      <x:c r="I8" s="13" t="str">
        <x:v>有</x:v>
      </x:c>
      <x:c r="J8" s="13" t="str">
        <x:v>有</x:v>
      </x:c>
      <x:c r="K8" s="13" t="str">
        <x:v>缺失</x:v>
      </x:c>
      <x:c r="L8" s="13" t="str"/>
      <x:c r="M8" s="13" t="str">
        <x:v>乡村博物馆;乡村振兴;发展趋势;</x:v>
      </x:c>
      <x:c r="N8" s="13" t="str">
        <x:v>https://kns.cnki.net/kcms2/article/abstract?v=9TisLvyceENqq401obNBpAwVra8Yf6E7McjWO_2teuTQ1-zWTdCLDjaWGbpYjJNlqara8XdFZTGLgP1OaBrvwcaN20LvhAbSnWE7bsq37iDJuhA0-stijwM41L3U1tWZLl_8iLL9XIxqKpqXpyNp0-F_nBomPD0tbsKiDuSVqBZS7uzkr2sb3w==</x:v>
      </x:c>
      <x:c r="O8" s="13" t="str">
        <x:v>样本-07.png</x:v>
      </x:c>
      <x:c r="P8" s="13" t="n">
        <x:v>2024</x:v>
      </x:c>
      <x:c r="Q8" s="13" t="str">
        <x:v>年度分组与列表日期、详情出版年为不同字段</x:v>
      </x:c>
    </x:row>
    <x:row r="9" ht="100" customHeight="1">
      <x:c r="A9" s="13" t="n">
        <x:v>8</x:v>
      </x:c>
      <x:c r="B9" s="13" t="n">
        <x:v>118</x:v>
      </x:c>
      <x:c r="C9" s="13" t="str">
        <x:v>基于深度学习法构建适合平原和高原儿童的骨龄预测模型</x:v>
      </x:c>
      <x:c r="D9" s="13" t="str">
        <x:v>刘琪星1 汪火根2 次旦旺久3 土旦阿旺4 杨美杰4 普琼穷达5 杨筱6 潘慧7 王凤丹1wangfengdan@pumch.cn</x:v>
      </x:c>
      <x:c r="E9" s="13" t="str">
        <x:v>1.中国医学科学院北京协和医院放射科 2.浙江大学计算机科学与技术学院 3.西藏自治区人民医院放射科 4.尼玛县人民医院放射科 5.那曲市人民医院放射科 6.中国医学科学院北京协和医院超声医学科 7.中国医学科学院北京协和医院内分泌科</x:v>
      </x:c>
      <x:c r="F9" s="16" t="d">
        <x:v>2024-10-11T00:00:00.000Z</x:v>
      </x:c>
      <x:c r="G9" s="13" t="str">
        <x:v>期刊</x:v>
      </x:c>
      <x:c r="H9" s="13" t="str">
        <x:v>协和医学杂志</x:v>
      </x:c>
      <x:c r="I9" s="13" t="str">
        <x:v>有</x:v>
      </x:c>
      <x:c r="J9" s="13" t="str">
        <x:v>有</x:v>
      </x:c>
      <x:c r="K9" s="13" t="str">
        <x:v>缺失</x:v>
      </x:c>
      <x:c r="L9" s="13" t="str"/>
      <x:c r="M9" s="13" t="str">
        <x:v>骨龄;深度学习;人工智能;高原;藏族;</x:v>
      </x:c>
      <x:c r="N9" s="13" t="str">
        <x:v>https://kns.cnki.net/kcms2/article/abstract?v=9TisLvyceEPgPCiY9swqwemaQtVU_s8F9RvtRyK5zWDsSUU0X3WcoZ_LrvQZVWgGT01aOH3yYN1lL3LEyCZQqxr6hpxUJqgT0OSsQ9f5bsDkQmBEgi0kCA5dfdOwVuzV3hzY79IOFvj4MC_1QJogtxU1czYTYyE5dT47sEtenkDw0Mr-E7zMAQ==</x:v>
      </x:c>
      <x:c r="O9" s="13" t="str">
        <x:v>样本-08.png</x:v>
      </x:c>
      <x:c r="P9" s="13" t="n">
        <x:v>2024</x:v>
      </x:c>
      <x:c r="Q9" s="13" t="str">
        <x:v>年度分组与列表日期、详情出版年为不同字段</x:v>
      </x:c>
    </x:row>
    <x:row r="10" ht="100" customHeight="1">
      <x:c r="A10" s="13" t="n">
        <x:v>9</x:v>
      </x:c>
      <x:c r="B10" s="13" t="n">
        <x:v>202</x:v>
      </x:c>
      <x:c r="C10" s="13" t="str">
        <x:v>基于自监督预训练的小样本道路病害检测</x:v>
      </x:c>
      <x:c r="D10" s="13" t="str">
        <x:v>韩海航1 王月2,3 周春鹏4,3 王洋洋1,2</x:v>
      </x:c>
      <x:c r="E10" s="13" t="str">
        <x:v>1.浙江省交通运输科学研究院道路工程研究所 2.浙江大学工程师学院 3.浙江大学浙江省服务机器人重点实验室 4.浙江大学计算机科学与技术学院</x:v>
      </x:c>
      <x:c r="F10" s="16" t="d">
        <x:v>2023-12-20T00:00:00.000Z</x:v>
      </x:c>
      <x:c r="G10" s="13" t="str">
        <x:v>期刊</x:v>
      </x:c>
      <x:c r="H10" s="13" t="str">
        <x:v>计算机与数字工程</x:v>
      </x:c>
      <x:c r="I10" s="13" t="str">
        <x:v>有</x:v>
      </x:c>
      <x:c r="J10" s="13" t="str">
        <x:v>有</x:v>
      </x:c>
      <x:c r="K10" s="13" t="str">
        <x:v>缺失</x:v>
      </x:c>
      <x:c r="L10" s="13" t="str"/>
      <x:c r="M10" s="13" t="str">
        <x:v>道路病害;卷积神经网络;小样本学习;自监督学习;</x:v>
      </x:c>
      <x:c r="N10" s="13" t="str">
        <x:v>https://kns.cnki.net/kcms2/article/abstract?v=9TisLvyceEMvQt4N3_VijojqqfLCF0sXpNjko-ZQmb4VDPJqQUTBj7egA3_gYXWxolSmiYGSnNcFWO2nllX14wjkV5socFlrhlq9ybae6G7WTBtVVpI6TYbC9BYrk1zMWcEE7swMEPNWly9bO7l8KaiX7K9Dqn9BLIDTYMzeTkPcpl8zfhB_Cg==</x:v>
      </x:c>
      <x:c r="O10" s="13" t="str">
        <x:v>样本-09.png</x:v>
      </x:c>
      <x:c r="P10" s="13" t="n">
        <x:v>2023</x:v>
      </x:c>
      <x:c r="Q10" s="13" t="str">
        <x:v>年度分组与列表日期、详情出版年为不同字段</x:v>
      </x:c>
    </x:row>
    <x:row r="11" ht="100" customHeight="1">
      <x:c r="A11" s="13" t="n">
        <x:v>10</x:v>
      </x:c>
      <x:c r="B11" s="13" t="n">
        <x:v>209</x:v>
      </x:c>
      <x:c r="C11" s="13" t="str">
        <x:v>基于实时动态图联合学习框架的金融交易风控技术</x:v>
      </x:c>
      <x:c r="D11" s="13" t="str">
        <x:v>周俊1,2 曹月恬2 胡斌斌2 张志强2 陈超超1zjuccc@zju.edu.cn</x:v>
      </x:c>
      <x:c r="E11" s="13" t="str">
        <x:v>1.浙江大学计算机科学与技术学院 2.蚂蚁科技集团股份有限公司机器智能部</x:v>
      </x:c>
      <x:c r="F11" s="16" t="d">
        <x:v>2023-12-06T00:00:00.000Z</x:v>
      </x:c>
      <x:c r="G11" s="13" t="str">
        <x:v>期刊</x:v>
      </x:c>
      <x:c r="H11" s="13" t="str">
        <x:v>电子学报</x:v>
      </x:c>
      <x:c r="I11" s="13" t="str">
        <x:v>有</x:v>
      </x:c>
      <x:c r="J11" s="13" t="str">
        <x:v>有</x:v>
      </x:c>
      <x:c r="K11" s="13" t="str">
        <x:v>缺失</x:v>
      </x:c>
      <x:c r="L11" s="13" t="str"/>
      <x:c r="M11" s="13" t="str">
        <x:v>时序建模;实时动态图;图学习;注意力机制;深度学习;系统框架;</x:v>
      </x:c>
      <x:c r="N11" s="13" t="str">
        <x:v>https://kns.cnki.net/kcms2/article/abstract?v=9TisLvyceEOiBxQ7xfehGorIfVFMOhQeeJtVyKvO7VL1llOv1_64wzwHr11VAciMbTDdCDc9EyVVI10ZLzHFlfdPfSyu3C9Ho4I4pupxQmCaUK1_gCSfO44dk9HnfWsDmg-AbFeC7ekTR9BMK-rX-z4IvJqVvyRlowbxf4pMTeHhrxnsoGAgJg==</x:v>
      </x:c>
      <x:c r="O11" s="13" t="str">
        <x:v>样本-10.png</x:v>
      </x:c>
      <x:c r="P11" s="13" t="n">
        <x:v>2023</x:v>
      </x:c>
      <x:c r="Q11" s="13" t="str">
        <x:v>年度分组与列表日期、详情出版年为不同字段</x:v>
      </x:c>
    </x:row>
    <x:row r="12" ht="100" customHeight="1">
      <x:c r="A12" s="13" t="n">
        <x:v>11</x:v>
      </x:c>
      <x:c r="B12" s="13" t="n">
        <x:v>272</x:v>
      </x:c>
      <x:c r="C12" s="13" t="str">
        <x:v>基于联邦学习的跨源数据错误检测方法</x:v>
      </x:c>
      <x:c r="D12" s="13" t="str">
        <x:v>陈璐1 郭宇翔1 葛丛丛2 郑白桦3 高云君1gaoyj@zju.edu.cn</x:v>
      </x:c>
      <x:c r="E12" s="13" t="str">
        <x:v>1.浙江大学计算机科学与技术学院 2.华为云计算公司数据智能创新Lab 3.School of Computing and Information Systems, Singapore Management University</x:v>
      </x:c>
      <x:c r="F12" s="16" t="d">
        <x:v>2023-03-09T00:00:00.000Z</x:v>
      </x:c>
      <x:c r="G12" s="13" t="str">
        <x:v>期刊</x:v>
      </x:c>
      <x:c r="H12" s="13" t="str">
        <x:v>软件学报</x:v>
      </x:c>
      <x:c r="I12" s="13" t="str">
        <x:v>有</x:v>
      </x:c>
      <x:c r="J12" s="13" t="str">
        <x:v>有</x:v>
      </x:c>
      <x:c r="K12" s="13" t="str">
        <x:v>有</x:v>
      </x:c>
      <x:c r="L12" s="13" t="str">
        <x:v>10.13328/j.cnki.jos.006781</x:v>
      </x:c>
      <x:c r="M12" s="13" t="str">
        <x:v>数据治理;数据质量;错误检测;联邦学习;</x:v>
      </x:c>
      <x:c r="N12" s="13" t="str">
        <x:v>https://kns.cnki.net/kcms2/article/abstract?v=9TisLvyceEOe-Fgc_LtEM1FbjTiiRsi0x5DpdCQP7lagin50GHgjUlhF-MTJFqtQgEJ-S5krh9aFI8XhgXiKtO1IDs1pnvohUvsx0pYY-f_5TEwI3oTmOTOmZ3zG9kBjebnRuQw9DgJpARwO9z16V8EklWEGaRJF6IlAyn5_qMWDhubPcmFuhQ==</x:v>
      </x:c>
      <x:c r="O12" s="13" t="str">
        <x:v>样本-11.png</x:v>
      </x:c>
      <x:c r="P12" s="13" t="n">
        <x:v>2023</x:v>
      </x:c>
      <x:c r="Q12" s="13" t="str">
        <x:v>年度分组与列表日期、详情出版年为不同字段</x:v>
      </x:c>
    </x:row>
    <x:row r="13" ht="100" customHeight="1">
      <x:c r="A13" s="13" t="n">
        <x:v>12</x:v>
      </x:c>
      <x:c r="B13" s="13" t="n">
        <x:v>285</x:v>
      </x:c>
      <x:c r="C13" s="13" t="str">
        <x:v>跨媒体智能关联分析与语义理解理论与技术研究进展</x:v>
      </x:c>
      <x:c r="D13" s="13" t="str">
        <x:v>于俊清1 王鑫2 况琨3 刘偲4 张新峰5 宋子恺1</x:v>
      </x:c>
      <x:c r="E13" s="13" t="str">
        <x:v>1.华中科技大学计算机科学与技术学院 2.清华大学计算机科学与技术系 3.浙江大学计算机科学与技术学院 4.北京航空航天大学计算机学院 5.中国科学院大学计算机科学与技术学院</x:v>
      </x:c>
      <x:c r="F13" s="16" t="d">
        <x:v>2023-02-01T00:00:00.000Z</x:v>
      </x:c>
      <x:c r="G13" s="13" t="str">
        <x:v>期刊</x:v>
      </x:c>
      <x:c r="H13" s="13" t="str">
        <x:v>计算机辅助设计与图形学学报</x:v>
      </x:c>
      <x:c r="I13" s="13" t="str">
        <x:v>有</x:v>
      </x:c>
      <x:c r="J13" s="13" t="str">
        <x:v>有</x:v>
      </x:c>
      <x:c r="K13" s="13" t="str">
        <x:v>缺失</x:v>
      </x:c>
      <x:c r="L13" s="13" t="str"/>
      <x:c r="M13" s="13" t="str">
        <x:v>跨媒体信息统一表达;知识引导的数据融合;跨媒体关联分析;跨媒体知识图谱;跨媒体分析与推理;多模态智能应用;</x:v>
      </x:c>
      <x:c r="N13" s="13" t="str">
        <x:v>https://kns.cnki.net/kcms2/article/abstract?v=9TisLvyceEPMeUD4mTJfuoJ85C2IKA0R6NCf0c1IkL6rJ2Is6DfQsB9b4UFcd_j2dy3mTkOg7NBum_w7nZOnsND62Chfrwsmz98ZkV89JCBvQ1xi0_K5sakBWGTdHGqSAWhjU6sZ5-V1NF-mgsxVH5whxA9L9tzcEXWwkDdW3VPWGuxlB0WJeQ==</x:v>
      </x:c>
      <x:c r="O13" s="13" t="str">
        <x:v>样本-12.png</x:v>
      </x:c>
      <x:c r="P13" s="13" t="n">
        <x:v>2023</x:v>
      </x:c>
      <x:c r="Q13" s="13" t="str">
        <x:v>年度分组与列表日期、详情出版年为不同字段</x:v>
      </x:c>
    </x:row>
    <x:row r="14" ht="100" customHeight="1">
      <x:c r="A14" s="13" t="n">
        <x:v>13</x:v>
      </x:c>
      <x:c r="B14" s="13" t="n">
        <x:v>287</x:v>
      </x:c>
      <x:c r="C14" s="13" t="str">
        <x:v>可信执行环境访问控制建模与安全性分析</x:v>
      </x:c>
      <x:c r="D14" s="13" t="str">
        <x:v>苗新亮1,2 常瑞2,3crix1021@zju.edu.cn 潘少平2 赵永望2 蒋烈辉1</x:v>
      </x:c>
      <x:c r="E14" s="13" t="str">
        <x:v>1.数学工程与先进计算国家重点实验室(战略支援部队信息工程大学) 2.浙江大学计算机科学与技术学院 3.浙江省区块链与网络空间治理重点实验室</x:v>
      </x:c>
      <x:c r="F14" s="16" t="d">
        <x:v>2023-01-19T00:00:00.000Z</x:v>
      </x:c>
      <x:c r="G14" s="13" t="str">
        <x:v>期刊</x:v>
      </x:c>
      <x:c r="H14" s="13" t="str">
        <x:v>软件学报</x:v>
      </x:c>
      <x:c r="I14" s="13" t="str">
        <x:v>有</x:v>
      </x:c>
      <x:c r="J14" s="13" t="str">
        <x:v>有</x:v>
      </x:c>
      <x:c r="K14" s="13" t="str">
        <x:v>有</x:v>
      </x:c>
      <x:c r="L14" s="13" t="str">
        <x:v>10.13328/j.cnki.jos.006612</x:v>
      </x:c>
      <x:c r="M14" s="13" t="str">
        <x:v>内存标签;可信执行环境;访问控制;模型检测;安全性分析;</x:v>
      </x:c>
      <x:c r="N14" s="13" t="str">
        <x:v>https://kns.cnki.net/kcms2/article/abstract?v=9TisLvyceEPPeATrUdK_XcxWAavaAu1Q3IRGkDYJIgeDxtyp_67rpdnbcRSv-MGBTSrTEKfsDGU2S5aXNJsr45TEH-TgfZ16WwXIU_oX9eLa-aW4hivmdjBHFk0NmRAe5Tq9ROdTxzKiUfcZk4peSxzLYM7nR1gxoqlPzpaFp0QFIXMSramwwg==</x:v>
      </x:c>
      <x:c r="O14" s="13" t="str">
        <x:v>样本-13.png</x:v>
      </x:c>
      <x:c r="P14" s="13" t="n">
        <x:v>2023</x:v>
      </x:c>
      <x:c r="Q14" s="13" t="str">
        <x:v>年度分组与列表日期、详情出版年为不同字段</x:v>
      </x:c>
    </x:row>
    <x:row r="15" ht="100" customHeight="1">
      <x:c r="A15" s="13" t="n">
        <x:v>14</x:v>
      </x:c>
      <x:c r="B15" s="13" t="n">
        <x:v>288</x:v>
      </x:c>
      <x:c r="C15" s="13" t="str">
        <x:v>创新设计转译文化基因的数字开发与传播策略研究</x:v>
      </x:c>
      <x:c r="D15" s="13" t="str">
        <x:v>罗仕鉴1 王瑶1 钟方旭1 郭沁2</x:v>
      </x:c>
      <x:c r="E15" s="13" t="str">
        <x:v>1.浙江大学计算机科学与技术学院 2.浙江工业大学人文学院</x:v>
      </x:c>
      <x:c r="F15" s="16" t="d">
        <x:v>2023-01-15T00:00:00.000Z</x:v>
      </x:c>
      <x:c r="G15" s="13" t="str">
        <x:v>期刊</x:v>
      </x:c>
      <x:c r="H15" s="13" t="str">
        <x:v>浙江大学学报(人文社会科学版)</x:v>
      </x:c>
      <x:c r="I15" s="13" t="str">
        <x:v>有</x:v>
      </x:c>
      <x:c r="J15" s="13" t="str">
        <x:v>有</x:v>
      </x:c>
      <x:c r="K15" s="13" t="str">
        <x:v>缺失</x:v>
      </x:c>
      <x:c r="L15" s="13" t="str"/>
      <x:c r="M15" s="13" t="str">
        <x:v>文化产业;文化基因;文化产品;文化传播新媒介;价值传播;创新设计;数字化;</x:v>
      </x:c>
      <x:c r="N15" s="13" t="str">
        <x:v>https://kns.cnki.net/kcms2/article/abstract?v=9TisLvyceEPhFu5VBW_7hzGvDL9g8gogJH8kSHOAqKmodvUlsAadzxpdn31rLKzZ3Mm41uT4sCWAN7m2nXceC5d_J1sKhrJgFSlvKBAQgMk_7hmU5rHSTnApMHumhis_Sn-AJdZbR8eXRslKXGGnotWXzdK9fwYMQdWqgKKveuSm31ZRD83pEA==</x:v>
      </x:c>
      <x:c r="O15" s="13" t="str">
        <x:v>样本-14.png</x:v>
      </x:c>
      <x:c r="P15" s="13" t="n">
        <x:v>2023</x:v>
      </x:c>
      <x:c r="Q15" s="13" t="str">
        <x:v>年度分组与列表日期、详情出版年为不同字段</x:v>
      </x:c>
    </x:row>
    <x:row r="16" ht="100" customHeight="1">
      <x:c r="A16" s="13" t="n">
        <x:v>15</x:v>
      </x:c>
      <x:c r="B16" s="13" t="n">
        <x:v>343</x:v>
      </x:c>
      <x:c r="C16" s="13" t="str">
        <x:v>传播结果的同源分析</x:v>
      </x:c>
      <x:c r="D16" s="13" t="str">
        <x:v>杨旋1 徐贝澄2 姚畅3 黄浩2haohuang@whu.edu.cn</x:v>
      </x:c>
      <x:c r="E16" s="13" t="str">
        <x:v>1.浙江大学医学院附属妇产科医院 2.武汉大学计算机学院 3.浙江大学计算机科学与技术学院</x:v>
      </x:c>
      <x:c r="F16" s="16" t="d">
        <x:v>2022-06-11T00:00:00.000Z</x:v>
      </x:c>
      <x:c r="G16" s="13" t="str">
        <x:v>期刊</x:v>
      </x:c>
      <x:c r="H16" s="13" t="str">
        <x:v>计算机应用研究</x:v>
      </x:c>
      <x:c r="I16" s="13" t="str">
        <x:v>有</x:v>
      </x:c>
      <x:c r="J16" s="13" t="str">
        <x:v>有</x:v>
      </x:c>
      <x:c r="K16" s="13" t="str">
        <x:v>有</x:v>
      </x:c>
      <x:c r="L16" s="13" t="str">
        <x:v>10.19734/j.issn.1001-3695.2022.03.0141</x:v>
      </x:c>
      <x:c r="M16" s="13" t="str">
        <x:v>传播网络;同源分析;伯努利混合模型;EM算法;聚类;</x:v>
      </x:c>
      <x:c r="N16" s="13" t="str">
        <x:v>https://kns.cnki.net/kcms2/article/abstract?v=9TisLvyceEOFVWLVVzh7ZM7S7S6S8Bwd3dmYfiw0Qzn3rXzJ8CN-JJ0BixgBAFP7VgeEOB_rkCxzSHU0IArLY66RcCGOcVugXuFJaqzNy-qr-uiAu3wSaynFvQ8dJLGPP_oqE9Y-OiAHdGF0H8f8nBquP_qHTCqnW4Jmc73jqvD_rroIIATjCg==</x:v>
      </x:c>
      <x:c r="O16" s="13" t="str">
        <x:v>样本-15.png</x:v>
      </x:c>
      <x:c r="P16" s="13" t="n">
        <x:v>2022</x:v>
      </x:c>
      <x:c r="Q16" s="13" t="str">
        <x:v>年度分组与列表日期、详情出版年为不同字段</x:v>
      </x:c>
    </x:row>
    <x:row r="17" ht="100" customHeight="1">
      <x:c r="A17" s="13" t="n">
        <x:v>16</x:v>
      </x:c>
      <x:c r="B17" s="13" t="n">
        <x:v>390</x:v>
      </x:c>
      <x:c r="C17" s="13" t="str">
        <x:v>面向移动边缘的组合服务选择及优化</x:v>
      </x:c>
      <x:c r="D17" s="13" t="str">
        <x:v>陈昊崴 邓水光dengsg@zju.edu.cn 赵海亮 尹建伟</x:v>
      </x:c>
      <x:c r="E17" s="13" t="str">
        <x:v>浙江大学计算机科学与技术学院</x:v>
      </x:c>
      <x:c r="F17" s="16" t="d">
        <x:v>2022-01-15T00:00:00.000Z</x:v>
      </x:c>
      <x:c r="G17" s="13" t="str">
        <x:v>期刊</x:v>
      </x:c>
      <x:c r="H17" s="13" t="str">
        <x:v>计算机学报</x:v>
      </x:c>
      <x:c r="I17" s="13" t="str">
        <x:v>有</x:v>
      </x:c>
      <x:c r="J17" s="13" t="str">
        <x:v>有</x:v>
      </x:c>
      <x:c r="K17" s="13" t="str">
        <x:v>缺失</x:v>
      </x:c>
      <x:c r="L17" s="13" t="str"/>
      <x:c r="M17" s="13" t="str">
        <x:v>移动边缘计算;服务组合;服务选择;李雅普诺夫优化;马尔科夫近似;</x:v>
      </x:c>
      <x:c r="N17" s="13" t="str">
        <x:v>https://kns.cnki.net/kcms2/article/abstract?v=9TisLvyceEPLgfVmWwqRBjhFk_9VVU4PksrUSd7GTQzSHzTul20GUAQWB08hO4i2bzGX5rrHHPEmegzLMESYJwOUdxOkV3e05S1dqJhPmkv1XXbVSA6FVxiI3PFZIkvx2NtDZTzMlfj2REphmb34TPASRYHFxWhNcPtQG7hVC30_ZZoMz8AwrA==</x:v>
      </x:c>
      <x:c r="O17" s="13" t="str">
        <x:v>样本-16.png</x:v>
      </x:c>
      <x:c r="P17" s="13" t="n">
        <x:v>2022</x:v>
      </x:c>
      <x:c r="Q17" s="13" t="str">
        <x:v>年度分组与列表日期、详情出版年为不同字段</x:v>
      </x:c>
    </x:row>
    <x:row r="18" ht="100" customHeight="1">
      <x:c r="A18" s="13" t="n">
        <x:v>17</x:v>
      </x:c>
      <x:c r="B18" s="13" t="n">
        <x:v>405</x:v>
      </x:c>
      <x:c r="C18" s="13" t="str">
        <x:v>跨社交网络用户身份关联技术</x:v>
      </x:c>
      <x:c r="D18" s="13" t="str">
        <x:v>王李冬1 张引2yinzh@zju.edu.cn 胡克用1 张赟3</x:v>
      </x:c>
      <x:c r="E18" s="13" t="str">
        <x:v>1.杭州师范大学钱江学院 2.浙江大学计算机科学与技术学院 3.浙江传媒学院</x:v>
      </x:c>
      <x:c r="F18" s="16" t="d">
        <x:v>2021-10-15T00:00:00.000Z</x:v>
      </x:c>
      <x:c r="G18" s="13" t="str">
        <x:v>期刊</x:v>
      </x:c>
      <x:c r="H18" s="13" t="str">
        <x:v>重庆理工大学学报(自然科学)</x:v>
      </x:c>
      <x:c r="I18" s="13" t="str">
        <x:v>有</x:v>
      </x:c>
      <x:c r="J18" s="13" t="str">
        <x:v>有</x:v>
      </x:c>
      <x:c r="K18" s="13" t="str">
        <x:v>缺失</x:v>
      </x:c>
      <x:c r="L18" s="13" t="str"/>
      <x:c r="M18" s="13" t="str">
        <x:v>跨社交网络;用户身份匹配;网络嵌入;朋友匹配度;JFA方法;</x:v>
      </x:c>
      <x:c r="N18" s="13" t="str">
        <x:v>https://kns.cnki.net/kcms2/article/abstract?v=9TisLvyceEN-UMu5CPehNLa1O2U_DtAlpKkWfSRGmhSb-t0lnkt4NyO5xpa1kp4RdlWLu7GrplD57ID4sHr2575qP34Fk0tO6XQMvfJKzWhdhBy-vD6FSvZl9GTsOrXCIKvbIi03X25OZHDcq--xKZAVD2iKs9GtZNF2iM02oWVYe2tM9fObFA==</x:v>
      </x:c>
      <x:c r="O18" s="13" t="str">
        <x:v>样本-17.png</x:v>
      </x:c>
      <x:c r="P18" s="13" t="n">
        <x:v>2021</x:v>
      </x:c>
      <x:c r="Q18" s="13" t="str">
        <x:v>年度分组与列表日期、详情出版年为不同字段</x:v>
      </x:c>
    </x:row>
    <x:row r="19" ht="100" customHeight="1">
      <x:c r="A19" s="13" t="n">
        <x:v>18</x:v>
      </x:c>
      <x:c r="B19" s="13" t="n">
        <x:v>419</x:v>
      </x:c>
      <x:c r="C19" s="13" t="str">
        <x:v>面向车联网异构节点的区块链高效一致性共识算法研究</x:v>
      </x:c>
      <x:c r="D19" s="13" t="str">
        <x:v>陈友荣1,2 章阳3 陈浩3 韩蒙4 刘半藤1 任条娟1.kuanren988@sina.com</x:v>
      </x:c>
      <x:c r="E19" s="13" t="str">
        <x:v>1.浙江树人大学信息科技学院 2.浙江大学计算机科学与技术学院 3.常州大学计算机与人工智能学院 4.浙江大学滨江研究院</x:v>
      </x:c>
      <x:c r="F19" s="16" t="d">
        <x:v>2021-08-09T00:00:00.000Z</x:v>
      </x:c>
      <x:c r="G19" s="13" t="str">
        <x:v>期刊</x:v>
      </x:c>
      <x:c r="H19" s="13" t="str">
        <x:v>电子与信息学报</x:v>
      </x:c>
      <x:c r="I19" s="13" t="str">
        <x:v>有</x:v>
      </x:c>
      <x:c r="J19" s="13" t="str">
        <x:v>有</x:v>
      </x:c>
      <x:c r="K19" s="13" t="str">
        <x:v>缺失</x:v>
      </x:c>
      <x:c r="L19" s="13" t="str"/>
      <x:c r="M19" s="13" t="str">
        <x:v>车联网;异构节点;区块链;一致性共识;信用等级;</x:v>
      </x:c>
      <x:c r="N19" s="13" t="str">
        <x:v>https://kns.cnki.net/kcms2/article/abstract?v=9TisLvyceEM3tcRbLQDNdmua-rI2wSPa-Y5_L0-JPvSwussTHOaLCNPxnyG9bSDjsBkeGU01MClBZwVimyPLxRscYNLwUyi7uulInZy4D_Ntn0JWWBrKwvY1yddSI5zOgvM7nrlh7x067dNWSRq5IFEko8SamEdlIMnUYwxqUgbYd5PXFFfpdw==</x:v>
      </x:c>
      <x:c r="O19" s="13" t="str">
        <x:v>样本-18.png</x:v>
      </x:c>
      <x:c r="P19" s="13" t="n">
        <x:v>2022</x:v>
      </x:c>
      <x:c r="Q19" s="13" t="str">
        <x:v>年度分组与列表日期、详情出版年为不同字段</x:v>
      </x:c>
    </x:row>
    <x:row r="20" ht="100" customHeight="1">
      <x:c r="A20" s="13" t="n">
        <x:v>19</x:v>
      </x:c>
      <x:c r="B20" s="13" t="n">
        <x:v>452</x:v>
      </x:c>
      <x:c r="C20" s="13" t="str">
        <x:v>AR物理实验中的磁感线仿真</x:v>
      </x:c>
      <x:c r="D20" s="13" t="str">
        <x:v>苗晋达1 罗天任2 蔡宁2 张明敏1zhangmm@zju.edu.cn 潘志庚2</x:v>
      </x:c>
      <x:c r="E20" s="13" t="str">
        <x:v>1.浙江大学计算机科学与技术学院 2.杭州师范大学虚拟现实与智能系统研究院</x:v>
      </x:c>
      <x:c r="F20" s="16" t="d">
        <x:v>2020-12-03T00:00:00.000Z</x:v>
      </x:c>
      <x:c r="G20" s="13" t="str">
        <x:v>期刊</x:v>
      </x:c>
      <x:c r="H20" s="13" t="str">
        <x:v>图学学报</x:v>
      </x:c>
      <x:c r="I20" s="13" t="str">
        <x:v>有</x:v>
      </x:c>
      <x:c r="J20" s="13" t="str">
        <x:v>有</x:v>
      </x:c>
      <x:c r="K20" s="13" t="str">
        <x:v>缺失</x:v>
      </x:c>
      <x:c r="L20" s="13" t="str"/>
      <x:c r="M20" s="13" t="str">
        <x:v>磁感线;仿真;MARK;龙格库塔方法;修正;</x:v>
      </x:c>
      <x:c r="N20" s="13" t="str">
        <x:v>https://kns.cnki.net/kcms2/article/abstract?v=9TisLvyceEPZFXgTmVmot2C8y-tbCo3ShtuBXHFVQRwjEw7XisNa3IDXUEma71wvOtPostjtonLxeIBn5ERCbRkIJy6cxoY-KkCfv3u0mjuWX7chtxyTiLvmdHfI17v0efJ-OY56_MGh8fivJTqPpZgC1FnDd2be7bS4n_YkYJH0GdHC0hW7Cw==</x:v>
      </x:c>
      <x:c r="O20" s="13" t="str">
        <x:v>样本-19.png</x:v>
      </x:c>
      <x:c r="P20" s="13" t="n">
        <x:v>2021</x:v>
      </x:c>
      <x:c r="Q20" s="13" t="str">
        <x:v>列表日期早于2021；样本仍来自勾选2021—2025年度的检索总体</x:v>
      </x:c>
    </x:row>
    <x:row r="21" ht="100" customHeight="1">
      <x:c r="A21" s="13" t="n">
        <x:v>20</x:v>
      </x:c>
      <x:c r="B21" s="13" t="n">
        <x:v>455</x:v>
      </x:c>
      <x:c r="C21" s="13" t="str">
        <x:v>深度强化学习的攻防与安全性分析综述</x:v>
      </x:c>
      <x:c r="D21" s="13" t="str">
        <x:v>陈晋音1,2chenjinyin@zjut.edu.cn 章燕1 王雪柯1 蔡鸿斌3 王珏1 纪守领4</x:v>
      </x:c>
      <x:c r="E21" s="13" t="str">
        <x:v>1.浙江工业大学信息工程学院 2.浙江工业大学网络安全研究院 3.华东师范大学软件工程学院 4.浙江大学计算机科学与技术学院</x:v>
      </x:c>
      <x:c r="F21" s="16" t="d">
        <x:v>2020-09-18T00:00:00.000Z</x:v>
      </x:c>
      <x:c r="G21" s="13" t="str">
        <x:v>期刊</x:v>
      </x:c>
      <x:c r="H21" s="13" t="str">
        <x:v>自动化学报</x:v>
      </x:c>
      <x:c r="I21" s="13" t="str">
        <x:v>有</x:v>
      </x:c>
      <x:c r="J21" s="13" t="str">
        <x:v>有</x:v>
      </x:c>
      <x:c r="K21" s="13" t="str">
        <x:v>有</x:v>
      </x:c>
      <x:c r="L21" s="13" t="str">
        <x:v>10.16383/j.aas.c200166</x:v>
      </x:c>
      <x:c r="M21" s="13" t="str">
        <x:v>深度强化学习;对抗攻击;防御;策略攻击;安全性;</x:v>
      </x:c>
      <x:c r="N21" s="13" t="str">
        <x:v>https://kns.cnki.net/kcms2/article/abstract?v=9TisLvyceEPTVGmBcfgxwlT6_iyS614uhQTWiqKRJOvjFpQreTivcY1OxEBl7UM9whQrg0DYNixFrJqGzLc4vqgm_9hTTKxPKoDYuOpT2vNQkEfrQvKhEZry-jDJLWe8nGtiWQevqTxVa0cWAKcD4GoVdEoTYqWHqWPN9K2ZXhW-Qvd6PpW00A==</x:v>
      </x:c>
      <x:c r="O21" s="13" t="str">
        <x:v>样本-20.png</x:v>
      </x:c>
      <x:c r="P21" s="13" t="n">
        <x:v>2022</x:v>
      </x:c>
      <x:c r="Q21" s="13" t="str">
        <x:v>列表日期早于2021；样本仍来自勾选2021—2025年度的检索总体</x:v>
      </x:c>
    </x:row>
  </x:sheetData>
  <x:conditionalFormatting sqref="I2:K21">
    <x:cfRule type="containsText" dxfId="0" priority="1" operator="containsText" text="缺失"/>
  </x:conditionalFormatting>
  <x:dataValidations count="1">
    <x:dataValidation type="list" sqref="I2:K21">
      <x:formula1>"有,缺失,不适用,无法核验"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0a67c730d4ab8"/>
  </x:tableParts>
</x:worksheet>
</file>